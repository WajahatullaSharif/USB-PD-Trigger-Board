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ajah\Documents\KiCad\9.0\projects\USB_PD_Trigger\"/>
    </mc:Choice>
  </mc:AlternateContent>
  <xr:revisionPtr revIDLastSave="0" documentId="13_ncr:1_{C590008C-EAA4-4863-841C-42D783ACFD3E}" xr6:coauthVersionLast="47" xr6:coauthVersionMax="47" xr10:uidLastSave="{00000000-0000-0000-0000-000000000000}"/>
  <bookViews>
    <workbookView xWindow="-120" yWindow="-120" windowWidth="29040" windowHeight="15720" xr2:uid="{09059CB2-B047-49BC-A9FC-7E5F3CE728EB}"/>
  </bookViews>
  <sheets>
    <sheet name="Sheet1" sheetId="1" r:id="rId1"/>
    <sheet name="Sheet2" sheetId="2" r:id="rId2"/>
  </sheets>
  <definedNames>
    <definedName name="_xlnm._FilterDatabase" localSheetId="0" hidden="1">Sheet1!$A$1:$I$1</definedName>
    <definedName name="_xlchart.v1.0" hidden="1">Sheet1!$E$1</definedName>
    <definedName name="_xlchart.v1.1" hidden="1">Sheet1!$E$1:$E$29</definedName>
    <definedName name="_xlchart.v1.10" hidden="1">Sheet1!$I$34</definedName>
    <definedName name="_xlchart.v1.2" hidden="1">Sheet1!$E$2:$E$30</definedName>
    <definedName name="_xlchart.v1.3" hidden="1">Sheet1!$E$2:$H$30</definedName>
    <definedName name="_xlchart.v1.4" hidden="1">Sheet1!$E$30</definedName>
    <definedName name="_xlchart.v1.5" hidden="1">Sheet1!$H$34</definedName>
    <definedName name="_xlchart.v1.6" hidden="1">Sheet1!$I$1</definedName>
    <definedName name="_xlchart.v1.7" hidden="1">Sheet1!$I$2:$I$30</definedName>
    <definedName name="_xlchart.v1.8" hidden="1">Sheet1!$I$34</definedName>
    <definedName name="_xlchart.v1.9" hidden="1">Sheet1!$H$34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4" i="1" l="1"/>
</calcChain>
</file>

<file path=xl/sharedStrings.xml><?xml version="1.0" encoding="utf-8"?>
<sst xmlns="http://schemas.openxmlformats.org/spreadsheetml/2006/main" count="130" uniqueCount="111">
  <si>
    <t>Ref Des</t>
  </si>
  <si>
    <t>MPN</t>
  </si>
  <si>
    <t>Make</t>
  </si>
  <si>
    <t>Sr.No</t>
  </si>
  <si>
    <t>Value</t>
  </si>
  <si>
    <t>R2</t>
  </si>
  <si>
    <t>R3</t>
  </si>
  <si>
    <t>R4</t>
  </si>
  <si>
    <t>R22</t>
  </si>
  <si>
    <t>D1</t>
  </si>
  <si>
    <t>Diodes Incorporated</t>
  </si>
  <si>
    <t>APT2012CGCK</t>
  </si>
  <si>
    <t>Kingbright</t>
  </si>
  <si>
    <t>Murata</t>
  </si>
  <si>
    <t>PA1206FRF7W0R005L</t>
  </si>
  <si>
    <t xml:space="preserve">YAGEO </t>
  </si>
  <si>
    <t>Molex</t>
  </si>
  <si>
    <t>X1</t>
  </si>
  <si>
    <t>RC0603FR-07100KL</t>
  </si>
  <si>
    <t>GRM188R71H104KA93D</t>
  </si>
  <si>
    <t>CER 100nF ±10% 50V X7R 0603</t>
  </si>
  <si>
    <t>CL31B106KBHNNNE</t>
  </si>
  <si>
    <t>CER 10UF 50V X7R 1206</t>
  </si>
  <si>
    <t>Samsung Electro-Mechanics</t>
  </si>
  <si>
    <t>HP8KB7TB1</t>
  </si>
  <si>
    <t>ROHM Semiconductor</t>
  </si>
  <si>
    <t>40V 24A, Dual Nch+Nch, HSOP8</t>
  </si>
  <si>
    <t>RC0603JR-076K2L</t>
  </si>
  <si>
    <t>AF0603JR-07200RL</t>
  </si>
  <si>
    <t>APT2012LVBC/D</t>
  </si>
  <si>
    <t>D2</t>
  </si>
  <si>
    <t>U2</t>
  </si>
  <si>
    <t>RC0603FR-0782KL</t>
  </si>
  <si>
    <t>RC0603FR-0752K3L</t>
  </si>
  <si>
    <t>RC0603FR-0739KL</t>
  </si>
  <si>
    <t>RC0603FR-0726K1L</t>
  </si>
  <si>
    <t>RC0603FR-0715KL</t>
  </si>
  <si>
    <t>RC0603FR-075K1L</t>
  </si>
  <si>
    <t>AP33771CFBZ-13-FA01</t>
  </si>
  <si>
    <t>U1</t>
  </si>
  <si>
    <t>USB EXT POWER RANGE W-DFN3030-14</t>
  </si>
  <si>
    <t>R1, R5, R6, R14</t>
  </si>
  <si>
    <t>R7, R15</t>
  </si>
  <si>
    <t>R8, R16</t>
  </si>
  <si>
    <t>R9, R17</t>
  </si>
  <si>
    <t>R10, R18</t>
  </si>
  <si>
    <t>R11, R19</t>
  </si>
  <si>
    <t>R12, R20</t>
  </si>
  <si>
    <t>RC0603FR-0766K5L</t>
  </si>
  <si>
    <t>CC0603KRX7R9BB105</t>
  </si>
  <si>
    <t>C5</t>
  </si>
  <si>
    <t>CER 1uF ±10% 50V X7R 0603</t>
  </si>
  <si>
    <t>RES 100K OHM 1% 1/10W 0603</t>
  </si>
  <si>
    <t>RES 5m OHM 1% 1/2W 1206</t>
  </si>
  <si>
    <t>RES 6.2K OHM 5% 1/10W 0603</t>
  </si>
  <si>
    <t>RES 200Ohms 1/10W 0603 5 %</t>
  </si>
  <si>
    <t>RES 82K OHM 1% 1/10W 0603</t>
  </si>
  <si>
    <t>RES 52.3K OHM 1% 1/10W 0603</t>
  </si>
  <si>
    <t>RES 66.5K OHM 1% 1/10W 0603</t>
  </si>
  <si>
    <t>RES 39K OHM 1% 1/10W 0603</t>
  </si>
  <si>
    <t>RES 26.1K OHM 1% 1/10W 0603</t>
  </si>
  <si>
    <t>RES 15K OHM 1% 1/10W 0603</t>
  </si>
  <si>
    <t>RES 5.1K OHM 1% 1/10W 0603</t>
  </si>
  <si>
    <t>D3</t>
  </si>
  <si>
    <t>APT2012SECK/J4-PRV</t>
  </si>
  <si>
    <t xml:space="preserve">0805 ORANGE SMD LED </t>
  </si>
  <si>
    <t xml:space="preserve">0805 BLUE SMD LED </t>
  </si>
  <si>
    <t xml:space="preserve">0805 GREEN SMD LED </t>
  </si>
  <si>
    <t>RC0603JR-071KL</t>
  </si>
  <si>
    <t>RES 1K OHM 5% 1/10W 0603</t>
  </si>
  <si>
    <t>R13, R21, R23, R24</t>
  </si>
  <si>
    <t>R25, R26, R27, R28</t>
  </si>
  <si>
    <t>RC0603JR-070RL</t>
  </si>
  <si>
    <t>RES 0 OHM JUMPER 1/10W 0603</t>
  </si>
  <si>
    <t>CC0603KRX7R9BB103</t>
  </si>
  <si>
    <t>C6, C7</t>
  </si>
  <si>
    <t>C2, C4, C8</t>
  </si>
  <si>
    <t>CER 10nF ±10% 50V X7R 0603</t>
  </si>
  <si>
    <t>C1, C3, C9, C10</t>
  </si>
  <si>
    <t>Texas Instruments</t>
  </si>
  <si>
    <t>Qty</t>
  </si>
  <si>
    <t>J1, J2</t>
  </si>
  <si>
    <t>5-146254-4</t>
  </si>
  <si>
    <t>TE Connectivity</t>
  </si>
  <si>
    <t>Samtec Inc.</t>
  </si>
  <si>
    <t>PZ254V-12-16P</t>
  </si>
  <si>
    <t>XFCN</t>
  </si>
  <si>
    <t>TSW-108-07-F-D</t>
  </si>
  <si>
    <t>X2</t>
  </si>
  <si>
    <t>KF301-5.0-2P</t>
  </si>
  <si>
    <t>Cixi Kefa Elec</t>
  </si>
  <si>
    <t>TB002-500-02BE</t>
  </si>
  <si>
    <t>Same Sky</t>
  </si>
  <si>
    <t>Würth Elektronik</t>
  </si>
  <si>
    <t>691137710002</t>
  </si>
  <si>
    <t>2 Position Wire to Board Terminal Block Through Hole 5mm</t>
  </si>
  <si>
    <t>CONN RCP USB2.0 TYP C 24P SMD RA</t>
  </si>
  <si>
    <t>Pin Header 16 Position 2.54mm Pitch Dual Row Through Hole -40℃~+105℃</t>
  </si>
  <si>
    <t>J3</t>
  </si>
  <si>
    <t>TSW-102-07-F-S</t>
  </si>
  <si>
    <t>CONN HEADER VERT 2POS 2.54MM</t>
  </si>
  <si>
    <t>Alternates/Substitutes</t>
  </si>
  <si>
    <t>DT1452-02SO-7</t>
  </si>
  <si>
    <t>TVS DIODE 5.5VWM 11VC SOT233</t>
  </si>
  <si>
    <t>D5</t>
  </si>
  <si>
    <t>D4</t>
  </si>
  <si>
    <t>ESDS312DBVR</t>
  </si>
  <si>
    <t>TVS DIODE 3.6VWM 6.5VC SOT23-5</t>
  </si>
  <si>
    <t>Total Cost</t>
  </si>
  <si>
    <t>Shipping cost</t>
  </si>
  <si>
    <t>Total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</si>
</sst>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49" fontId="0" fillId="0" borderId="1" xfId="0" applyNumberFormat="1" applyBorder="1" applyAlignment="1">
      <alignment horizontal="left"/>
    </xf>
    <xf numFmtId="164" fontId="0" fillId="0" borderId="0" xfId="0" applyNumberFormat="1"/>
    <xf numFmtId="0" fontId="0" fillId="0" borderId="1" xfId="0" applyFill="1" applyBorder="1"/>
    <xf numFmtId="164" fontId="1" fillId="2" borderId="1" xfId="0" applyNumberFormat="1" applyFont="1" applyFill="1" applyBorder="1"/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Sheet1!$I$1</c:f>
              <c:strCache>
                <c:ptCount val="1"/>
                <c:pt idx="0">
                  <c:v>Total Cost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Sheet1!$E$2:$E$26</c:f>
              <c:strCache>
                <c:ptCount val="25"/>
                <c:pt idx="0">
                  <c:v>CL31B106KBHNNNE</c:v>
                </c:pt>
                <c:pt idx="1">
                  <c:v>GRM188R71H104KA93D</c:v>
                </c:pt>
                <c:pt idx="2">
                  <c:v>CC0603KRX7R9BB105</c:v>
                </c:pt>
                <c:pt idx="3">
                  <c:v>CC0603KRX7R9BB103</c:v>
                </c:pt>
                <c:pt idx="4">
                  <c:v>APT2012CGCK</c:v>
                </c:pt>
                <c:pt idx="5">
                  <c:v>APT2012LVBC/D</c:v>
                </c:pt>
                <c:pt idx="6">
                  <c:v>APT2012SECK/J4-PRV</c:v>
                </c:pt>
                <c:pt idx="7">
                  <c:v>DT1452-02SO-7</c:v>
                </c:pt>
                <c:pt idx="8">
                  <c:v>ESDS312DBVR</c:v>
                </c:pt>
                <c:pt idx="9">
                  <c:v>AP33771CFBZ-13-FA01</c:v>
                </c:pt>
                <c:pt idx="10">
                  <c:v>HP8KB7TB1</c:v>
                </c:pt>
                <c:pt idx="11">
                  <c:v>RC0603FR-07100KL</c:v>
                </c:pt>
                <c:pt idx="12">
                  <c:v>PA1206FRF7W0R005L</c:v>
                </c:pt>
                <c:pt idx="13">
                  <c:v>RC0603JR-076K2L</c:v>
                </c:pt>
                <c:pt idx="14">
                  <c:v>AF0603JR-07200RL</c:v>
                </c:pt>
                <c:pt idx="15">
                  <c:v>RC0603FR-0782KL</c:v>
                </c:pt>
                <c:pt idx="16">
                  <c:v>RC0603FR-0766K5L</c:v>
                </c:pt>
                <c:pt idx="17">
                  <c:v>RC0603FR-0752K3L</c:v>
                </c:pt>
                <c:pt idx="18">
                  <c:v>RC0603FR-0739KL</c:v>
                </c:pt>
                <c:pt idx="19">
                  <c:v>RC0603FR-0726K1L</c:v>
                </c:pt>
                <c:pt idx="20">
                  <c:v>RC0603FR-0715KL</c:v>
                </c:pt>
                <c:pt idx="21">
                  <c:v>RC0603FR-075K1L</c:v>
                </c:pt>
                <c:pt idx="22">
                  <c:v>RC0603JR-071KL</c:v>
                </c:pt>
                <c:pt idx="23">
                  <c:v>RC0603JR-070RL</c:v>
                </c:pt>
                <c:pt idx="24">
                  <c:v>PZ254V-12-16P</c:v>
                </c:pt>
              </c:strCache>
            </c:strRef>
          </c:cat>
          <c:val>
            <c:numRef>
              <c:f>Sheet1!$I$2:$I$26</c:f>
              <c:numCache>
                <c:formatCode>"₹"\ #,##0.00</c:formatCode>
                <c:ptCount val="25"/>
                <c:pt idx="0">
                  <c:v>167</c:v>
                </c:pt>
                <c:pt idx="1">
                  <c:v>92</c:v>
                </c:pt>
                <c:pt idx="2">
                  <c:v>163</c:v>
                </c:pt>
                <c:pt idx="3">
                  <c:v>25</c:v>
                </c:pt>
                <c:pt idx="4">
                  <c:v>149</c:v>
                </c:pt>
                <c:pt idx="5">
                  <c:v>282</c:v>
                </c:pt>
                <c:pt idx="6">
                  <c:v>271</c:v>
                </c:pt>
                <c:pt idx="7">
                  <c:v>223</c:v>
                </c:pt>
                <c:pt idx="8">
                  <c:v>321</c:v>
                </c:pt>
                <c:pt idx="9">
                  <c:v>834</c:v>
                </c:pt>
                <c:pt idx="10">
                  <c:v>1850</c:v>
                </c:pt>
                <c:pt idx="11">
                  <c:v>14</c:v>
                </c:pt>
                <c:pt idx="12">
                  <c:v>300</c:v>
                </c:pt>
                <c:pt idx="13">
                  <c:v>79</c:v>
                </c:pt>
                <c:pt idx="14">
                  <c:v>79</c:v>
                </c:pt>
                <c:pt idx="15">
                  <c:v>15</c:v>
                </c:pt>
                <c:pt idx="16">
                  <c:v>15</c:v>
                </c:pt>
                <c:pt idx="17">
                  <c:v>27</c:v>
                </c:pt>
                <c:pt idx="18">
                  <c:v>15</c:v>
                </c:pt>
                <c:pt idx="19">
                  <c:v>17</c:v>
                </c:pt>
                <c:pt idx="20">
                  <c:v>17</c:v>
                </c:pt>
                <c:pt idx="21">
                  <c:v>26</c:v>
                </c:pt>
                <c:pt idx="22">
                  <c:v>61</c:v>
                </c:pt>
                <c:pt idx="23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02-4A90-9C3A-44603391745E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656269497336206"/>
          <c:y val="2.4821939871152471E-2"/>
          <c:w val="0.20699089084452679"/>
          <c:h val="0.967571880219518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180975</xdr:colOff>
      <xdr:row>1</xdr:row>
      <xdr:rowOff>38100</xdr:rowOff>
    </xdr:from>
    <xdr:to>
      <xdr:col>25</xdr:col>
      <xdr:colOff>419100</xdr:colOff>
      <xdr:row>36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5DB7092-3C33-2C9D-C68D-4DC2281FD6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FBAE5-7872-4769-9B4A-5A7E0BBFE69F}">
  <dimension ref="A1:I34"/>
  <sheetViews>
    <sheetView tabSelected="1" workbookViewId="0">
      <selection activeCell="K30" sqref="K30"/>
    </sheetView>
  </sheetViews>
  <sheetFormatPr defaultRowHeight="15" x14ac:dyDescent="0.25"/>
  <cols>
    <col min="1" max="1" width="9.140625" style="3"/>
    <col min="2" max="2" width="16.7109375" bestFit="1" customWidth="1"/>
    <col min="3" max="3" width="9.42578125" style="3" customWidth="1"/>
    <col min="4" max="4" width="68.28515625" bestFit="1" customWidth="1"/>
    <col min="5" max="5" width="21.7109375" style="8" bestFit="1" customWidth="1"/>
    <col min="6" max="6" width="26" bestFit="1" customWidth="1"/>
    <col min="7" max="7" width="21.5703125" bestFit="1" customWidth="1"/>
    <col min="8" max="8" width="16.140625" bestFit="1" customWidth="1"/>
    <col min="9" max="9" width="12" style="10" bestFit="1" customWidth="1"/>
  </cols>
  <sheetData>
    <row r="1" spans="1:9" x14ac:dyDescent="0.25">
      <c r="A1" s="4" t="s">
        <v>3</v>
      </c>
      <c r="B1" s="5" t="s">
        <v>0</v>
      </c>
      <c r="C1" s="4" t="s">
        <v>80</v>
      </c>
      <c r="D1" s="5" t="s">
        <v>4</v>
      </c>
      <c r="E1" s="6" t="s">
        <v>1</v>
      </c>
      <c r="F1" s="5" t="s">
        <v>2</v>
      </c>
      <c r="G1" s="5" t="s">
        <v>101</v>
      </c>
      <c r="H1" s="5" t="s">
        <v>2</v>
      </c>
      <c r="I1" s="12" t="s">
        <v>108</v>
      </c>
    </row>
    <row r="2" spans="1:9" x14ac:dyDescent="0.25">
      <c r="A2" s="2">
        <v>1</v>
      </c>
      <c r="B2" s="11" t="s">
        <v>78</v>
      </c>
      <c r="C2" s="2">
        <v>4</v>
      </c>
      <c r="D2" s="1" t="s">
        <v>22</v>
      </c>
      <c r="E2" s="7" t="s">
        <v>21</v>
      </c>
      <c r="F2" s="1" t="s">
        <v>23</v>
      </c>
      <c r="G2" s="1"/>
      <c r="H2" s="1"/>
      <c r="I2" s="13">
        <v>167</v>
      </c>
    </row>
    <row r="3" spans="1:9" x14ac:dyDescent="0.25">
      <c r="A3" s="2">
        <v>2</v>
      </c>
      <c r="B3" s="11" t="s">
        <v>76</v>
      </c>
      <c r="C3" s="2">
        <v>3</v>
      </c>
      <c r="D3" s="1" t="s">
        <v>20</v>
      </c>
      <c r="E3" s="7" t="s">
        <v>19</v>
      </c>
      <c r="F3" s="1" t="s">
        <v>13</v>
      </c>
      <c r="G3" s="1"/>
      <c r="H3" s="1"/>
      <c r="I3" s="13">
        <v>92</v>
      </c>
    </row>
    <row r="4" spans="1:9" x14ac:dyDescent="0.25">
      <c r="A4" s="2">
        <v>3</v>
      </c>
      <c r="B4" s="11" t="s">
        <v>50</v>
      </c>
      <c r="C4" s="2">
        <v>1</v>
      </c>
      <c r="D4" s="1" t="s">
        <v>51</v>
      </c>
      <c r="E4" s="7" t="s">
        <v>49</v>
      </c>
      <c r="F4" s="1" t="s">
        <v>15</v>
      </c>
      <c r="G4" s="1"/>
      <c r="H4" s="1"/>
      <c r="I4" s="13">
        <v>163</v>
      </c>
    </row>
    <row r="5" spans="1:9" x14ac:dyDescent="0.25">
      <c r="A5" s="2">
        <v>4</v>
      </c>
      <c r="B5" s="11" t="s">
        <v>75</v>
      </c>
      <c r="C5" s="2">
        <v>2</v>
      </c>
      <c r="D5" s="1" t="s">
        <v>77</v>
      </c>
      <c r="E5" s="7" t="s">
        <v>74</v>
      </c>
      <c r="F5" s="1" t="s">
        <v>15</v>
      </c>
      <c r="G5" s="1"/>
      <c r="H5" s="1"/>
      <c r="I5" s="13">
        <v>25</v>
      </c>
    </row>
    <row r="6" spans="1:9" x14ac:dyDescent="0.25">
      <c r="A6" s="2">
        <v>5</v>
      </c>
      <c r="B6" s="11" t="s">
        <v>9</v>
      </c>
      <c r="C6" s="2">
        <v>1</v>
      </c>
      <c r="D6" s="1" t="s">
        <v>67</v>
      </c>
      <c r="E6" s="7" t="s">
        <v>11</v>
      </c>
      <c r="F6" s="1" t="s">
        <v>12</v>
      </c>
      <c r="G6" s="1"/>
      <c r="H6" s="1"/>
      <c r="I6" s="13">
        <v>149</v>
      </c>
    </row>
    <row r="7" spans="1:9" x14ac:dyDescent="0.25">
      <c r="A7" s="2">
        <v>6</v>
      </c>
      <c r="B7" s="11" t="s">
        <v>30</v>
      </c>
      <c r="C7" s="2">
        <v>1</v>
      </c>
      <c r="D7" s="1" t="s">
        <v>66</v>
      </c>
      <c r="E7" s="7" t="s">
        <v>29</v>
      </c>
      <c r="F7" s="1" t="s">
        <v>12</v>
      </c>
      <c r="G7" s="1"/>
      <c r="H7" s="1"/>
      <c r="I7" s="13">
        <v>282</v>
      </c>
    </row>
    <row r="8" spans="1:9" x14ac:dyDescent="0.25">
      <c r="A8" s="2">
        <v>7</v>
      </c>
      <c r="B8" s="11" t="s">
        <v>63</v>
      </c>
      <c r="C8" s="2">
        <v>1</v>
      </c>
      <c r="D8" s="1" t="s">
        <v>65</v>
      </c>
      <c r="E8" s="7" t="s">
        <v>64</v>
      </c>
      <c r="F8" s="1" t="s">
        <v>12</v>
      </c>
      <c r="G8" s="1"/>
      <c r="H8" s="1"/>
      <c r="I8" s="13">
        <v>271</v>
      </c>
    </row>
    <row r="9" spans="1:9" x14ac:dyDescent="0.25">
      <c r="A9" s="2">
        <v>8</v>
      </c>
      <c r="B9" s="11" t="s">
        <v>105</v>
      </c>
      <c r="C9" s="2">
        <v>1</v>
      </c>
      <c r="D9" s="1" t="s">
        <v>103</v>
      </c>
      <c r="E9" s="7" t="s">
        <v>102</v>
      </c>
      <c r="F9" s="1" t="s">
        <v>10</v>
      </c>
      <c r="G9" s="1"/>
      <c r="H9" s="1"/>
      <c r="I9" s="13">
        <v>223</v>
      </c>
    </row>
    <row r="10" spans="1:9" x14ac:dyDescent="0.25">
      <c r="A10" s="2">
        <v>9</v>
      </c>
      <c r="B10" s="11" t="s">
        <v>104</v>
      </c>
      <c r="C10" s="2">
        <v>1</v>
      </c>
      <c r="D10" s="1" t="s">
        <v>107</v>
      </c>
      <c r="E10" s="7" t="s">
        <v>106</v>
      </c>
      <c r="F10" s="1" t="s">
        <v>79</v>
      </c>
      <c r="G10" s="1"/>
      <c r="H10" s="1"/>
      <c r="I10" s="13">
        <v>321</v>
      </c>
    </row>
    <row r="11" spans="1:9" x14ac:dyDescent="0.25">
      <c r="A11" s="2">
        <v>10</v>
      </c>
      <c r="B11" s="11" t="s">
        <v>39</v>
      </c>
      <c r="C11" s="2">
        <v>1</v>
      </c>
      <c r="D11" s="1" t="s">
        <v>40</v>
      </c>
      <c r="E11" s="7" t="s">
        <v>38</v>
      </c>
      <c r="F11" s="1" t="s">
        <v>10</v>
      </c>
      <c r="G11" s="1"/>
      <c r="H11" s="1"/>
      <c r="I11" s="13">
        <v>834</v>
      </c>
    </row>
    <row r="12" spans="1:9" x14ac:dyDescent="0.25">
      <c r="A12" s="2">
        <v>11</v>
      </c>
      <c r="B12" s="11" t="s">
        <v>31</v>
      </c>
      <c r="C12" s="2">
        <v>1</v>
      </c>
      <c r="D12" s="1" t="s">
        <v>26</v>
      </c>
      <c r="E12" s="7" t="s">
        <v>24</v>
      </c>
      <c r="F12" s="1" t="s">
        <v>25</v>
      </c>
      <c r="G12" s="1"/>
      <c r="H12" s="1"/>
      <c r="I12" s="13">
        <v>1850</v>
      </c>
    </row>
    <row r="13" spans="1:9" x14ac:dyDescent="0.25">
      <c r="A13" s="2">
        <v>12</v>
      </c>
      <c r="B13" s="11" t="s">
        <v>41</v>
      </c>
      <c r="C13" s="2">
        <v>4</v>
      </c>
      <c r="D13" s="1" t="s">
        <v>52</v>
      </c>
      <c r="E13" s="7" t="s">
        <v>18</v>
      </c>
      <c r="F13" s="1" t="s">
        <v>15</v>
      </c>
      <c r="G13" s="1"/>
      <c r="H13" s="1"/>
      <c r="I13" s="13">
        <v>14</v>
      </c>
    </row>
    <row r="14" spans="1:9" x14ac:dyDescent="0.25">
      <c r="A14" s="2">
        <v>13</v>
      </c>
      <c r="B14" s="11" t="s">
        <v>5</v>
      </c>
      <c r="C14" s="2">
        <v>1</v>
      </c>
      <c r="D14" s="1" t="s">
        <v>53</v>
      </c>
      <c r="E14" s="7" t="s">
        <v>14</v>
      </c>
      <c r="F14" s="1" t="s">
        <v>15</v>
      </c>
      <c r="G14" s="1"/>
      <c r="H14" s="1"/>
      <c r="I14" s="13">
        <v>300</v>
      </c>
    </row>
    <row r="15" spans="1:9" x14ac:dyDescent="0.25">
      <c r="A15" s="2">
        <v>14</v>
      </c>
      <c r="B15" s="11" t="s">
        <v>6</v>
      </c>
      <c r="C15" s="2">
        <v>1</v>
      </c>
      <c r="D15" s="1" t="s">
        <v>54</v>
      </c>
      <c r="E15" s="7" t="s">
        <v>27</v>
      </c>
      <c r="F15" s="1" t="s">
        <v>15</v>
      </c>
      <c r="G15" s="1"/>
      <c r="H15" s="1"/>
      <c r="I15" s="13">
        <v>79</v>
      </c>
    </row>
    <row r="16" spans="1:9" x14ac:dyDescent="0.25">
      <c r="A16" s="2">
        <v>15</v>
      </c>
      <c r="B16" s="11" t="s">
        <v>7</v>
      </c>
      <c r="C16" s="2">
        <v>1</v>
      </c>
      <c r="D16" s="1" t="s">
        <v>55</v>
      </c>
      <c r="E16" s="7" t="s">
        <v>28</v>
      </c>
      <c r="F16" s="1" t="s">
        <v>15</v>
      </c>
      <c r="G16" s="1"/>
      <c r="H16" s="1"/>
      <c r="I16" s="13">
        <v>79</v>
      </c>
    </row>
    <row r="17" spans="1:9" x14ac:dyDescent="0.25">
      <c r="A17" s="2">
        <v>16</v>
      </c>
      <c r="B17" s="11" t="s">
        <v>42</v>
      </c>
      <c r="C17" s="2">
        <v>2</v>
      </c>
      <c r="D17" s="1" t="s">
        <v>56</v>
      </c>
      <c r="E17" s="7" t="s">
        <v>32</v>
      </c>
      <c r="F17" s="1" t="s">
        <v>15</v>
      </c>
      <c r="G17" s="1"/>
      <c r="H17" s="1"/>
      <c r="I17" s="13">
        <v>15</v>
      </c>
    </row>
    <row r="18" spans="1:9" x14ac:dyDescent="0.25">
      <c r="A18" s="2">
        <v>17</v>
      </c>
      <c r="B18" s="11" t="s">
        <v>43</v>
      </c>
      <c r="C18" s="2">
        <v>2</v>
      </c>
      <c r="D18" s="1" t="s">
        <v>58</v>
      </c>
      <c r="E18" s="7" t="s">
        <v>48</v>
      </c>
      <c r="F18" s="1" t="s">
        <v>15</v>
      </c>
      <c r="G18" s="1"/>
      <c r="H18" s="1"/>
      <c r="I18" s="13">
        <v>15</v>
      </c>
    </row>
    <row r="19" spans="1:9" x14ac:dyDescent="0.25">
      <c r="A19" s="2">
        <v>18</v>
      </c>
      <c r="B19" s="11" t="s">
        <v>44</v>
      </c>
      <c r="C19" s="2">
        <v>2</v>
      </c>
      <c r="D19" s="1" t="s">
        <v>57</v>
      </c>
      <c r="E19" s="7" t="s">
        <v>33</v>
      </c>
      <c r="F19" s="1" t="s">
        <v>15</v>
      </c>
      <c r="G19" s="1"/>
      <c r="H19" s="1"/>
      <c r="I19" s="13">
        <v>27</v>
      </c>
    </row>
    <row r="20" spans="1:9" x14ac:dyDescent="0.25">
      <c r="A20" s="2">
        <v>19</v>
      </c>
      <c r="B20" s="11" t="s">
        <v>45</v>
      </c>
      <c r="C20" s="2">
        <v>2</v>
      </c>
      <c r="D20" s="1" t="s">
        <v>59</v>
      </c>
      <c r="E20" s="7" t="s">
        <v>34</v>
      </c>
      <c r="F20" s="1" t="s">
        <v>15</v>
      </c>
      <c r="G20" s="1"/>
      <c r="H20" s="1"/>
      <c r="I20" s="13">
        <v>15</v>
      </c>
    </row>
    <row r="21" spans="1:9" x14ac:dyDescent="0.25">
      <c r="A21" s="2">
        <v>20</v>
      </c>
      <c r="B21" s="11" t="s">
        <v>46</v>
      </c>
      <c r="C21" s="2">
        <v>2</v>
      </c>
      <c r="D21" s="1" t="s">
        <v>60</v>
      </c>
      <c r="E21" s="7" t="s">
        <v>35</v>
      </c>
      <c r="F21" s="1" t="s">
        <v>15</v>
      </c>
      <c r="G21" s="1"/>
      <c r="H21" s="1"/>
      <c r="I21" s="13">
        <v>17</v>
      </c>
    </row>
    <row r="22" spans="1:9" x14ac:dyDescent="0.25">
      <c r="A22" s="2">
        <v>21</v>
      </c>
      <c r="B22" s="11" t="s">
        <v>47</v>
      </c>
      <c r="C22" s="2">
        <v>2</v>
      </c>
      <c r="D22" s="1" t="s">
        <v>61</v>
      </c>
      <c r="E22" s="7" t="s">
        <v>36</v>
      </c>
      <c r="F22" s="1" t="s">
        <v>15</v>
      </c>
      <c r="G22" s="1"/>
      <c r="H22" s="1"/>
      <c r="I22" s="13">
        <v>17</v>
      </c>
    </row>
    <row r="23" spans="1:9" x14ac:dyDescent="0.25">
      <c r="A23" s="2">
        <v>22</v>
      </c>
      <c r="B23" s="11" t="s">
        <v>70</v>
      </c>
      <c r="C23" s="2">
        <v>4</v>
      </c>
      <c r="D23" s="1" t="s">
        <v>62</v>
      </c>
      <c r="E23" s="7" t="s">
        <v>37</v>
      </c>
      <c r="F23" s="1" t="s">
        <v>15</v>
      </c>
      <c r="G23" s="1"/>
      <c r="H23" s="1"/>
      <c r="I23" s="13">
        <v>26</v>
      </c>
    </row>
    <row r="24" spans="1:9" x14ac:dyDescent="0.25">
      <c r="A24" s="2">
        <v>23</v>
      </c>
      <c r="B24" s="11" t="s">
        <v>8</v>
      </c>
      <c r="C24" s="2">
        <v>1</v>
      </c>
      <c r="D24" s="1" t="s">
        <v>69</v>
      </c>
      <c r="E24" s="7" t="s">
        <v>68</v>
      </c>
      <c r="F24" s="1" t="s">
        <v>15</v>
      </c>
      <c r="G24" s="1"/>
      <c r="H24" s="1"/>
      <c r="I24" s="13">
        <v>61</v>
      </c>
    </row>
    <row r="25" spans="1:9" x14ac:dyDescent="0.25">
      <c r="A25" s="2">
        <v>24</v>
      </c>
      <c r="B25" s="11" t="s">
        <v>71</v>
      </c>
      <c r="C25" s="2">
        <v>4</v>
      </c>
      <c r="D25" s="1" t="s">
        <v>73</v>
      </c>
      <c r="E25" s="7" t="s">
        <v>72</v>
      </c>
      <c r="F25" s="1" t="s">
        <v>15</v>
      </c>
      <c r="G25" s="1"/>
      <c r="H25" s="1"/>
      <c r="I25" s="13">
        <v>26</v>
      </c>
    </row>
    <row r="26" spans="1:9" x14ac:dyDescent="0.25">
      <c r="A26" s="2">
        <v>25</v>
      </c>
      <c r="B26" s="1" t="s">
        <v>81</v>
      </c>
      <c r="C26" s="2">
        <v>2</v>
      </c>
      <c r="D26" s="1" t="s">
        <v>97</v>
      </c>
      <c r="E26" s="7" t="s">
        <v>85</v>
      </c>
      <c r="F26" s="1" t="s">
        <v>86</v>
      </c>
      <c r="G26" s="7" t="s">
        <v>82</v>
      </c>
      <c r="H26" s="1" t="s">
        <v>83</v>
      </c>
      <c r="I26" s="13"/>
    </row>
    <row r="27" spans="1:9" x14ac:dyDescent="0.25">
      <c r="A27" s="2">
        <v>26</v>
      </c>
      <c r="B27" s="11" t="s">
        <v>98</v>
      </c>
      <c r="C27" s="2">
        <v>1</v>
      </c>
      <c r="D27" s="1" t="s">
        <v>100</v>
      </c>
      <c r="E27" s="7" t="s">
        <v>99</v>
      </c>
      <c r="F27" s="1" t="s">
        <v>84</v>
      </c>
      <c r="G27" s="1"/>
      <c r="H27" s="1"/>
      <c r="I27" s="13"/>
    </row>
    <row r="28" spans="1:9" x14ac:dyDescent="0.25">
      <c r="A28" s="2">
        <v>27</v>
      </c>
      <c r="B28" s="11" t="s">
        <v>17</v>
      </c>
      <c r="C28" s="2">
        <v>1</v>
      </c>
      <c r="D28" s="1" t="s">
        <v>96</v>
      </c>
      <c r="E28" s="7">
        <v>2171790001</v>
      </c>
      <c r="F28" s="1" t="s">
        <v>16</v>
      </c>
      <c r="G28" s="1"/>
      <c r="H28" s="1"/>
      <c r="I28" s="13">
        <v>520</v>
      </c>
    </row>
    <row r="29" spans="1:9" x14ac:dyDescent="0.25">
      <c r="A29" s="2">
        <v>28</v>
      </c>
      <c r="B29" s="1" t="s">
        <v>88</v>
      </c>
      <c r="C29" s="2">
        <v>1</v>
      </c>
      <c r="D29" s="1" t="s">
        <v>95</v>
      </c>
      <c r="E29" s="7" t="s">
        <v>89</v>
      </c>
      <c r="F29" s="1" t="s">
        <v>90</v>
      </c>
      <c r="G29" s="7" t="s">
        <v>91</v>
      </c>
      <c r="H29" s="1" t="s">
        <v>92</v>
      </c>
      <c r="I29" s="13"/>
    </row>
    <row r="30" spans="1:9" x14ac:dyDescent="0.25">
      <c r="A30" s="2"/>
      <c r="B30" s="1"/>
      <c r="C30" s="2"/>
      <c r="D30" s="1"/>
      <c r="E30" s="7"/>
      <c r="F30" s="1"/>
      <c r="G30" s="7" t="s">
        <v>87</v>
      </c>
      <c r="H30" s="1" t="s">
        <v>84</v>
      </c>
      <c r="I30" s="13"/>
    </row>
    <row r="31" spans="1:9" x14ac:dyDescent="0.25">
      <c r="A31" s="2"/>
      <c r="B31" s="1"/>
      <c r="C31" s="2"/>
      <c r="D31" s="1"/>
      <c r="E31" s="7"/>
      <c r="F31" s="1"/>
      <c r="G31" s="9" t="s">
        <v>94</v>
      </c>
      <c r="H31" s="1" t="s">
        <v>93</v>
      </c>
      <c r="I31" s="13"/>
    </row>
    <row r="33" spans="8:9" x14ac:dyDescent="0.25">
      <c r="H33" s="1" t="s">
        <v>109</v>
      </c>
      <c r="I33" s="13">
        <v>250</v>
      </c>
    </row>
    <row r="34" spans="8:9" x14ac:dyDescent="0.25">
      <c r="H34" s="1" t="s">
        <v>110</v>
      </c>
      <c r="I34" s="13">
        <f>SUM(I2:I33)</f>
        <v>5838</v>
      </c>
    </row>
  </sheetData>
  <autoFilter ref="A1:I1" xr:uid="{CEAFBAE5-7872-4769-9B4A-5A7E0BBFE69F}">
    <sortState xmlns:xlrd2="http://schemas.microsoft.com/office/spreadsheetml/2017/richdata2" ref="A2:I31">
      <sortCondition ref="A1"/>
    </sortState>
  </autoFilter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43E65-CB09-481B-B8C5-633876E8C677}">
  <dimension ref="A1"/>
  <sheetViews>
    <sheetView workbookViewId="0">
      <selection activeCell="AC16" sqref="AC16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Wajahatulla Sharif</dc:creator>
  <cp:lastModifiedBy>Wajahatulla Sharif</cp:lastModifiedBy>
  <dcterms:created xsi:type="dcterms:W3CDTF">2025-12-27T17:58:03Z</dcterms:created>
  <dcterms:modified xsi:type="dcterms:W3CDTF">2026-01-15T11:05:03Z</dcterms:modified>
</cp:coreProperties>
</file>